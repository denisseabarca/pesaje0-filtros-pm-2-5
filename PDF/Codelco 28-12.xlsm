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Filtros_PM_2_5\PDF\"/>
    </mc:Choice>
  </mc:AlternateContent>
  <xr:revisionPtr revIDLastSave="0" documentId="8_{6DD58975-7B2B-4B2A-BA7C-7ADF7B0A1AF4}" xr6:coauthVersionLast="47" xr6:coauthVersionMax="47" xr10:uidLastSave="{00000000-0000-0000-0000-000000000000}"/>
  <bookViews>
    <workbookView xWindow="-120" yWindow="-120" windowWidth="29040" windowHeight="15840" xr2:uid="{A42645DC-60E5-4C4E-BDB1-744629D0A3AD}"/>
  </bookViews>
  <sheets>
    <sheet name="Filtros_Muestra" sheetId="1" r:id="rId1"/>
  </sheets>
  <externalReferences>
    <externalReference r:id="rId2"/>
  </externalReferences>
  <definedNames>
    <definedName name="_xlnm.Print_Area" localSheetId="0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4" i="1" l="1"/>
  <c r="Y24" i="1"/>
  <c r="X24" i="1"/>
  <c r="S24" i="1"/>
  <c r="R24" i="1"/>
  <c r="M24" i="1"/>
  <c r="L24" i="1"/>
  <c r="G24" i="1"/>
  <c r="F24" i="1"/>
  <c r="A24" i="1"/>
  <c r="AA24" i="1" s="1"/>
  <c r="Z23" i="1"/>
  <c r="Y23" i="1"/>
  <c r="X23" i="1"/>
  <c r="S23" i="1"/>
  <c r="R23" i="1"/>
  <c r="M23" i="1"/>
  <c r="L23" i="1"/>
  <c r="G23" i="1"/>
  <c r="F23" i="1"/>
  <c r="A23" i="1"/>
  <c r="AA23" i="1" s="1"/>
  <c r="Z22" i="1"/>
  <c r="Y22" i="1"/>
  <c r="X22" i="1"/>
  <c r="S22" i="1"/>
  <c r="R22" i="1"/>
  <c r="M22" i="1"/>
  <c r="L22" i="1"/>
  <c r="G22" i="1"/>
  <c r="F22" i="1"/>
  <c r="A22" i="1"/>
  <c r="AA22" i="1" s="1"/>
  <c r="Z21" i="1"/>
  <c r="Y21" i="1"/>
  <c r="X21" i="1"/>
  <c r="S21" i="1"/>
  <c r="R21" i="1"/>
  <c r="M21" i="1"/>
  <c r="L21" i="1"/>
  <c r="G21" i="1"/>
  <c r="F21" i="1"/>
  <c r="A21" i="1"/>
  <c r="AA21" i="1" s="1"/>
  <c r="AA20" i="1"/>
  <c r="Z20" i="1"/>
  <c r="Y20" i="1"/>
  <c r="X20" i="1"/>
  <c r="S20" i="1"/>
  <c r="R20" i="1"/>
  <c r="M20" i="1"/>
  <c r="L20" i="1"/>
  <c r="G20" i="1"/>
  <c r="F20" i="1"/>
  <c r="A20" i="1"/>
  <c r="AA19" i="1"/>
  <c r="Z19" i="1"/>
  <c r="Y19" i="1"/>
  <c r="X19" i="1"/>
  <c r="S19" i="1"/>
  <c r="R19" i="1"/>
  <c r="M19" i="1"/>
  <c r="L19" i="1"/>
  <c r="G19" i="1"/>
  <c r="F19" i="1"/>
  <c r="A19" i="1"/>
  <c r="Z18" i="1"/>
  <c r="Y18" i="1"/>
  <c r="X18" i="1"/>
  <c r="S18" i="1"/>
  <c r="R18" i="1"/>
  <c r="M18" i="1"/>
  <c r="L18" i="1"/>
  <c r="G18" i="1"/>
  <c r="F18" i="1"/>
  <c r="A18" i="1"/>
  <c r="AA18" i="1" s="1"/>
  <c r="Z17" i="1"/>
  <c r="Y17" i="1"/>
  <c r="X17" i="1"/>
  <c r="S17" i="1"/>
  <c r="R17" i="1"/>
  <c r="M17" i="1"/>
  <c r="L17" i="1"/>
  <c r="G17" i="1"/>
  <c r="F17" i="1"/>
  <c r="A17" i="1"/>
  <c r="AA17" i="1" s="1"/>
  <c r="Z16" i="1"/>
  <c r="Y16" i="1"/>
  <c r="X16" i="1"/>
  <c r="S16" i="1"/>
  <c r="R16" i="1"/>
  <c r="M16" i="1"/>
  <c r="L16" i="1"/>
  <c r="G16" i="1"/>
  <c r="F16" i="1"/>
  <c r="A16" i="1"/>
  <c r="AA16" i="1" s="1"/>
  <c r="AA15" i="1"/>
  <c r="Z15" i="1"/>
  <c r="Y15" i="1"/>
  <c r="X15" i="1"/>
  <c r="S15" i="1"/>
  <c r="R15" i="1"/>
  <c r="M15" i="1"/>
  <c r="L15" i="1"/>
  <c r="G15" i="1"/>
  <c r="F15" i="1"/>
  <c r="A15" i="1"/>
  <c r="Z14" i="1"/>
  <c r="Y14" i="1"/>
  <c r="X14" i="1"/>
  <c r="S14" i="1"/>
  <c r="R14" i="1"/>
  <c r="M14" i="1"/>
  <c r="L14" i="1"/>
  <c r="G14" i="1"/>
  <c r="F14" i="1"/>
  <c r="A14" i="1"/>
  <c r="AA14" i="1" s="1"/>
  <c r="Z13" i="1"/>
  <c r="Y13" i="1"/>
  <c r="X13" i="1"/>
  <c r="S13" i="1"/>
  <c r="R13" i="1"/>
  <c r="M13" i="1"/>
  <c r="L13" i="1"/>
  <c r="G13" i="1"/>
  <c r="F13" i="1"/>
  <c r="A13" i="1"/>
  <c r="AA13" i="1" s="1"/>
  <c r="AA12" i="1"/>
  <c r="Z12" i="1"/>
  <c r="Y12" i="1"/>
  <c r="X12" i="1"/>
  <c r="S12" i="1"/>
  <c r="R12" i="1"/>
  <c r="M12" i="1"/>
  <c r="L12" i="1"/>
  <c r="G12" i="1"/>
  <c r="F12" i="1"/>
  <c r="A12" i="1"/>
  <c r="AA11" i="1"/>
  <c r="Z11" i="1"/>
  <c r="Y11" i="1"/>
  <c r="X11" i="1"/>
  <c r="S11" i="1"/>
  <c r="R11" i="1"/>
  <c r="M11" i="1"/>
  <c r="L11" i="1"/>
  <c r="G11" i="1"/>
  <c r="F11" i="1"/>
  <c r="A11" i="1"/>
  <c r="Z10" i="1"/>
  <c r="AA10" i="1" s="1"/>
  <c r="Y10" i="1"/>
  <c r="X10" i="1"/>
  <c r="S10" i="1"/>
  <c r="R10" i="1"/>
  <c r="M10" i="1"/>
  <c r="L10" i="1"/>
  <c r="G10" i="1"/>
  <c r="F10" i="1"/>
  <c r="A10" i="1"/>
  <c r="Z9" i="1"/>
  <c r="Y9" i="1"/>
  <c r="X9" i="1"/>
  <c r="S9" i="1"/>
  <c r="R9" i="1"/>
  <c r="M9" i="1"/>
  <c r="L9" i="1"/>
  <c r="G9" i="1"/>
  <c r="F9" i="1"/>
  <c r="A9" i="1"/>
  <c r="AA9" i="1" s="1"/>
  <c r="Z8" i="1"/>
  <c r="Y8" i="1"/>
  <c r="X8" i="1"/>
  <c r="S8" i="1"/>
  <c r="R8" i="1"/>
  <c r="M8" i="1"/>
  <c r="L8" i="1"/>
  <c r="G8" i="1"/>
  <c r="F8" i="1"/>
  <c r="A8" i="1"/>
  <c r="AA8" i="1" s="1"/>
  <c r="AA7" i="1"/>
  <c r="Z7" i="1"/>
  <c r="Y7" i="1"/>
  <c r="X7" i="1"/>
  <c r="S7" i="1"/>
  <c r="R7" i="1"/>
  <c r="M7" i="1"/>
  <c r="L7" i="1"/>
  <c r="G7" i="1"/>
  <c r="F7" i="1"/>
  <c r="A7" i="1"/>
  <c r="Z6" i="1"/>
  <c r="Y6" i="1"/>
  <c r="X6" i="1"/>
  <c r="S6" i="1"/>
  <c r="R6" i="1"/>
  <c r="M6" i="1"/>
  <c r="L6" i="1"/>
  <c r="G6" i="1"/>
  <c r="F6" i="1"/>
  <c r="A6" i="1"/>
  <c r="AA6" i="1" s="1"/>
  <c r="Z5" i="1"/>
  <c r="Y5" i="1"/>
  <c r="X5" i="1"/>
  <c r="S5" i="1"/>
  <c r="R5" i="1"/>
  <c r="M5" i="1"/>
  <c r="L5" i="1"/>
  <c r="G5" i="1"/>
  <c r="F5" i="1"/>
  <c r="A5" i="1"/>
  <c r="AA5" i="1" s="1"/>
  <c r="AA4" i="1"/>
  <c r="Z4" i="1"/>
  <c r="Y4" i="1"/>
  <c r="X4" i="1"/>
  <c r="S4" i="1"/>
  <c r="R4" i="1"/>
  <c r="M4" i="1"/>
  <c r="L4" i="1"/>
  <c r="G4" i="1"/>
  <c r="F4" i="1"/>
  <c r="A4" i="1"/>
</calcChain>
</file>

<file path=xl/sharedStrings.xml><?xml version="1.0" encoding="utf-8"?>
<sst xmlns="http://schemas.openxmlformats.org/spreadsheetml/2006/main" count="58" uniqueCount="27">
  <si>
    <t>Pesaje de Filtros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</si>
  <si>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</si>
  <si>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Código Termohigrómetro:</t>
  </si>
  <si>
    <t>THIP-003</t>
  </si>
  <si>
    <t>Código Masa Patrón:</t>
  </si>
  <si>
    <t>MSP-004</t>
  </si>
  <si>
    <t>Tipo de Filtro:</t>
  </si>
  <si>
    <t>Gravimetria PM 2.5 Monitoreado</t>
  </si>
  <si>
    <t>ID FILTRO</t>
  </si>
  <si>
    <t>Peso_1
mg</t>
  </si>
  <si>
    <t>Fecha_1</t>
  </si>
  <si>
    <t>HR
% Lect</t>
  </si>
  <si>
    <t>T 
ºC
Lect</t>
  </si>
  <si>
    <t>HR
%</t>
  </si>
  <si>
    <t>T 
ºC</t>
  </si>
  <si>
    <t>Peso_2
mg</t>
  </si>
  <si>
    <t>Fecha_2</t>
  </si>
  <si>
    <t>Peso_3
mg</t>
  </si>
  <si>
    <t>Fecha_3</t>
  </si>
  <si>
    <t>Peso_4
mg</t>
  </si>
  <si>
    <t>Fecha_4</t>
  </si>
  <si>
    <t>Promedio
Peso Final</t>
  </si>
  <si>
    <t>Peso
Material Particulado</t>
  </si>
  <si>
    <t>Factor
HR</t>
  </si>
  <si>
    <t>Factor
T</t>
  </si>
  <si>
    <t>Responsable</t>
  </si>
  <si>
    <t>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</si>
</sst>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yyyy/mm/dd\ h:mm:ss"/>
    <numFmt numFmtId="166" formatCode="0.0"/>
    <numFmt numFmtId="167" formatCode="yyyy/mm/dd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164" fontId="0" fillId="2" borderId="0" xfId="0" applyNumberFormat="1" applyFill="1" applyAlignment="1" applyProtection="1">
      <alignment vertical="center"/>
      <protection locked="0"/>
    </xf>
    <xf numFmtId="165" fontId="1" fillId="2" borderId="0" xfId="0" applyNumberFormat="1" applyFont="1" applyFill="1" applyAlignment="1" applyProtection="1">
      <alignment vertical="center"/>
      <protection locked="0"/>
    </xf>
    <xf numFmtId="166" fontId="0" fillId="2" borderId="0" xfId="0" applyNumberFormat="1" applyFill="1" applyProtection="1">
      <protection locked="0"/>
    </xf>
    <xf numFmtId="165" fontId="1" fillId="2" borderId="0" xfId="0" applyNumberFormat="1" applyFont="1" applyFill="1" applyAlignment="1" applyProtection="1">
      <alignment horizontal="right" vertical="center"/>
      <protection locked="0"/>
    </xf>
    <xf numFmtId="166" fontId="0" fillId="2" borderId="2" xfId="0" applyNumberFormat="1" applyFill="1" applyBorder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horizontal="center" vertical="center"/>
      <protection locked="0"/>
    </xf>
    <xf numFmtId="166" fontId="1" fillId="2" borderId="0" xfId="0" applyNumberFormat="1" applyFont="1" applyFill="1" applyAlignment="1" applyProtection="1">
      <alignment horizontal="right" vertical="center"/>
      <protection locked="0"/>
    </xf>
    <xf numFmtId="166" fontId="0" fillId="2" borderId="2" xfId="0" applyNumberFormat="1" applyFill="1" applyBorder="1" applyAlignment="1" applyProtection="1">
      <alignment horizontal="left" vertical="center"/>
      <protection locked="0"/>
    </xf>
    <xf numFmtId="164" fontId="1" fillId="2" borderId="0" xfId="0" applyNumberFormat="1" applyFont="1" applyFill="1" applyAlignment="1" applyProtection="1">
      <alignment horizontal="right" vertical="center"/>
      <protection locked="0"/>
    </xf>
    <xf numFmtId="165" fontId="0" fillId="2" borderId="0" xfId="0" applyNumberFormat="1" applyFill="1" applyAlignment="1" applyProtection="1">
      <alignment vertical="center"/>
      <protection locked="0"/>
    </xf>
    <xf numFmtId="0" fontId="1" fillId="2" borderId="1" xfId="0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 wrapText="1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166" fontId="1" fillId="2" borderId="1" xfId="0" applyNumberFormat="1" applyFont="1" applyFill="1" applyBorder="1" applyAlignment="1">
      <alignment horizontal="center" wrapText="1"/>
    </xf>
    <xf numFmtId="164" fontId="1" fillId="2" borderId="3" xfId="0" applyNumberFormat="1" applyFont="1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0" fillId="2" borderId="3" xfId="0" applyFill="1" applyBorder="1" applyAlignment="1">
      <alignment horizontal="center" wrapText="1"/>
    </xf>
    <xf numFmtId="0" fontId="0" fillId="2" borderId="0" xfId="0" applyFill="1"/>
    <xf numFmtId="0" fontId="0" fillId="2" borderId="1" xfId="0" applyFill="1" applyBorder="1"/>
    <xf numFmtId="164" fontId="0" fillId="3" borderId="1" xfId="0" applyNumberFormat="1" applyFill="1" applyBorder="1" applyProtection="1">
      <protection locked="0"/>
    </xf>
    <xf numFmtId="167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166" fontId="0" fillId="2" borderId="1" xfId="0" applyNumberFormat="1" applyFill="1" applyBorder="1"/>
    <xf numFmtId="164" fontId="0" fillId="2" borderId="1" xfId="0" applyNumberFormat="1" applyFill="1" applyBorder="1"/>
    <xf numFmtId="164" fontId="0" fillId="2" borderId="0" xfId="0" applyNumberFormat="1" applyFill="1"/>
    <xf numFmtId="167" fontId="0" fillId="2" borderId="0" xfId="0" applyNumberFormat="1" applyFill="1"/>
    <xf numFmtId="166" fontId="0" fillId="2" borderId="0" xfId="0" applyNumberFormat="1" applyFill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3A845E5-8D5F-4431-956A-90E45AC38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46D8A74-EC17-4482-95DD-12013D6BBA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9587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ltros_PM_2_5/3_GravimetriaPM2_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sos_Blancos"/>
      <sheetName val="Filtros_Muestra"/>
      <sheetName val="Pesos_Finales"/>
      <sheetName val="Metales"/>
    </sheetNames>
    <definedNames>
      <definedName name="SaveWorksheetsAsCsv"/>
    </definedNames>
    <sheetDataSet>
      <sheetData sheetId="0">
        <row r="2">
          <cell r="A2" t="str">
            <v>D9108226</v>
          </cell>
          <cell r="F2">
            <v>168.7415</v>
          </cell>
        </row>
        <row r="3">
          <cell r="A3" t="str">
            <v>D9108227</v>
          </cell>
          <cell r="F3">
            <v>169.54050000000001</v>
          </cell>
        </row>
        <row r="4">
          <cell r="A4" t="str">
            <v>D9109403</v>
          </cell>
          <cell r="F4">
            <v>163.82249999999999</v>
          </cell>
        </row>
        <row r="5">
          <cell r="A5" t="str">
            <v>D9109404</v>
          </cell>
          <cell r="F5">
            <v>165.77549999999999</v>
          </cell>
        </row>
        <row r="6">
          <cell r="A6" t="str">
            <v>D9099287</v>
          </cell>
          <cell r="F6">
            <v>168.66399999999999</v>
          </cell>
        </row>
        <row r="7">
          <cell r="A7" t="str">
            <v>D9104500</v>
          </cell>
          <cell r="F7">
            <v>166.99950000000001</v>
          </cell>
        </row>
        <row r="8">
          <cell r="A8" t="str">
            <v>D9104501</v>
          </cell>
          <cell r="F8">
            <v>166.0745</v>
          </cell>
        </row>
        <row r="9">
          <cell r="A9" t="str">
            <v>D9108278</v>
          </cell>
          <cell r="F9">
            <v>168.98050000000001</v>
          </cell>
        </row>
        <row r="10">
          <cell r="A10" t="str">
            <v>D9108279</v>
          </cell>
          <cell r="F10">
            <v>169.0925</v>
          </cell>
        </row>
        <row r="11">
          <cell r="A11" t="str">
            <v>D9108239</v>
          </cell>
          <cell r="F11">
            <v>169.24549999999999</v>
          </cell>
        </row>
        <row r="12">
          <cell r="A12" t="str">
            <v>D9108240</v>
          </cell>
          <cell r="F12">
            <v>168.845</v>
          </cell>
        </row>
        <row r="13">
          <cell r="A13" t="str">
            <v>D9108252</v>
          </cell>
          <cell r="F13">
            <v>167.9795</v>
          </cell>
        </row>
        <row r="14">
          <cell r="A14" t="str">
            <v>D9108253</v>
          </cell>
          <cell r="F14">
            <v>167.511</v>
          </cell>
        </row>
        <row r="15">
          <cell r="A15" t="str">
            <v>D9108265</v>
          </cell>
          <cell r="F15">
            <v>169.61599999999999</v>
          </cell>
        </row>
        <row r="16">
          <cell r="A16" t="str">
            <v>D9108266</v>
          </cell>
          <cell r="F16">
            <v>167.46949999999998</v>
          </cell>
        </row>
        <row r="17">
          <cell r="A17" t="str">
            <v>D9104474</v>
          </cell>
          <cell r="F17">
            <v>166.2835</v>
          </cell>
        </row>
        <row r="18">
          <cell r="A18" t="str">
            <v>D9104475</v>
          </cell>
          <cell r="F18">
            <v>170.494</v>
          </cell>
        </row>
        <row r="19">
          <cell r="A19" t="str">
            <v>D9104513</v>
          </cell>
          <cell r="F19">
            <v>164.73950000000002</v>
          </cell>
        </row>
        <row r="20">
          <cell r="A20" t="str">
            <v>D9104514</v>
          </cell>
          <cell r="F20">
            <v>165.917</v>
          </cell>
        </row>
        <row r="21">
          <cell r="A21" t="str">
            <v>QC 168</v>
          </cell>
          <cell r="F21">
            <v>99.995499999999993</v>
          </cell>
        </row>
        <row r="22">
          <cell r="F22" t="str">
            <v/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FA98D-5DF5-44AA-92C4-684BE86D4791}">
  <sheetPr codeName="Hoja2">
    <pageSetUpPr fitToPage="1"/>
  </sheetPr>
  <dimension ref="A1:AD24"/>
  <sheetViews>
    <sheetView tabSelected="1" zoomScale="77" zoomScaleNormal="77" workbookViewId="0">
      <selection activeCell="D1" sqref="D1:T1"/>
    </sheetView>
  </sheetViews>
  <sheetFormatPr baseColWidth="10" defaultRowHeight="15" x14ac:dyDescent="0.25"/>
  <cols>
    <col min="1" max="1" width="14.28515625" style="26" customWidth="1"/>
    <col min="2" max="2" width="15.85546875" style="33" customWidth="1"/>
    <col min="3" max="3" width="20.140625" style="34" customWidth="1"/>
    <col min="4" max="4" width="6.7109375" style="26" customWidth="1"/>
    <col min="5" max="5" width="6.140625" style="26" customWidth="1"/>
    <col min="6" max="6" width="6.5703125" style="35" bestFit="1" customWidth="1"/>
    <col min="7" max="7" width="6" style="35" customWidth="1"/>
    <col min="8" max="8" width="15.85546875" style="33" customWidth="1"/>
    <col min="9" max="9" width="20" style="34" customWidth="1"/>
    <col min="10" max="11" width="5.5703125" style="26" customWidth="1"/>
    <col min="12" max="13" width="6" style="35" customWidth="1"/>
    <col min="14" max="14" width="16" style="33" customWidth="1"/>
    <col min="15" max="15" width="19.85546875" style="34" bestFit="1" customWidth="1"/>
    <col min="16" max="17" width="5.5703125" style="26" customWidth="1"/>
    <col min="18" max="19" width="6" style="35" customWidth="1"/>
    <col min="20" max="20" width="14.140625" style="26" customWidth="1"/>
    <col min="21" max="21" width="20.42578125" style="26" customWidth="1"/>
    <col min="22" max="22" width="6.5703125" style="26" customWidth="1"/>
    <col min="23" max="23" width="7.140625" style="26" customWidth="1"/>
    <col min="24" max="24" width="12.7109375" style="26" customWidth="1"/>
    <col min="25" max="25" width="11.42578125" style="26"/>
    <col min="26" max="27" width="11.42578125" style="33"/>
    <col min="28" max="29" width="11.42578125" style="26"/>
    <col min="30" max="30" width="12.85546875" style="26" customWidth="1"/>
    <col min="31" max="16384" width="11.42578125" style="26"/>
  </cols>
  <sheetData>
    <row r="1" spans="1:30" s="5" customFormat="1" ht="34.5" customHeight="1" x14ac:dyDescent="0.25">
      <c r="A1" s="1"/>
      <c r="B1" s="1"/>
      <c r="C1" s="1"/>
      <c r="D1" s="2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 t="s">
        <v>1</v>
      </c>
      <c r="V1" s="4"/>
      <c r="W1" s="4"/>
      <c r="X1" s="4"/>
      <c r="Z1" s="6"/>
      <c r="AA1" s="6"/>
    </row>
    <row r="2" spans="1:30" s="5" customFormat="1" ht="26.25" customHeight="1" x14ac:dyDescent="0.25">
      <c r="A2" s="7"/>
      <c r="B2" s="8"/>
      <c r="C2" s="9"/>
      <c r="D2" s="10"/>
      <c r="E2" s="11"/>
      <c r="F2" s="11" t="s">
        <v>2</v>
      </c>
      <c r="G2" s="12" t="s">
        <v>3</v>
      </c>
      <c r="H2" s="13"/>
      <c r="I2" s="14" t="s">
        <v>4</v>
      </c>
      <c r="J2" s="15" t="s">
        <v>5</v>
      </c>
      <c r="K2" s="15"/>
      <c r="L2" s="10"/>
      <c r="M2" s="10"/>
      <c r="N2" s="16" t="s">
        <v>6</v>
      </c>
      <c r="O2" s="17" t="s">
        <v>7</v>
      </c>
      <c r="R2" s="10"/>
      <c r="S2" s="10"/>
      <c r="Z2" s="6"/>
      <c r="AA2" s="6"/>
    </row>
    <row r="3" spans="1:30" ht="42" customHeight="1" x14ac:dyDescent="0.25">
      <c r="A3" s="18" t="s">
        <v>8</v>
      </c>
      <c r="B3" s="19" t="s">
        <v>9</v>
      </c>
      <c r="C3" s="20" t="s">
        <v>10</v>
      </c>
      <c r="D3" s="21" t="s">
        <v>11</v>
      </c>
      <c r="E3" s="21" t="s">
        <v>12</v>
      </c>
      <c r="F3" s="22" t="s">
        <v>13</v>
      </c>
      <c r="G3" s="22" t="s">
        <v>14</v>
      </c>
      <c r="H3" s="19" t="s">
        <v>15</v>
      </c>
      <c r="I3" s="20" t="s">
        <v>16</v>
      </c>
      <c r="J3" s="21" t="s">
        <v>11</v>
      </c>
      <c r="K3" s="21" t="s">
        <v>12</v>
      </c>
      <c r="L3" s="22" t="s">
        <v>13</v>
      </c>
      <c r="M3" s="22" t="s">
        <v>14</v>
      </c>
      <c r="N3" s="19" t="s">
        <v>17</v>
      </c>
      <c r="O3" s="20" t="s">
        <v>18</v>
      </c>
      <c r="P3" s="21" t="s">
        <v>11</v>
      </c>
      <c r="Q3" s="21" t="s">
        <v>12</v>
      </c>
      <c r="R3" s="22" t="s">
        <v>13</v>
      </c>
      <c r="S3" s="22" t="s">
        <v>14</v>
      </c>
      <c r="T3" s="19" t="s">
        <v>19</v>
      </c>
      <c r="U3" s="20" t="s">
        <v>20</v>
      </c>
      <c r="V3" s="21" t="s">
        <v>11</v>
      </c>
      <c r="W3" s="21" t="s">
        <v>12</v>
      </c>
      <c r="X3" s="22" t="s">
        <v>13</v>
      </c>
      <c r="Y3" s="22" t="s">
        <v>14</v>
      </c>
      <c r="Z3" s="23" t="s">
        <v>21</v>
      </c>
      <c r="AA3" s="19" t="s">
        <v>22</v>
      </c>
      <c r="AB3" s="24" t="s">
        <v>23</v>
      </c>
      <c r="AC3" s="24" t="s">
        <v>24</v>
      </c>
      <c r="AD3" s="25" t="s">
        <v>25</v>
      </c>
    </row>
    <row r="4" spans="1:30" x14ac:dyDescent="0.25">
      <c r="A4" s="27" t="str">
        <f>IF([1]Pesos_Blancos!A2&lt;&gt;"",[1]Pesos_Blancos!A2,"")</f>
        <v>D9108226</v>
      </c>
      <c r="B4" s="28">
        <v>169.97800000000001</v>
      </c>
      <c r="C4" s="29">
        <v>44922.819398148145</v>
      </c>
      <c r="D4" s="30">
        <v>32.700000000000003</v>
      </c>
      <c r="E4" s="30">
        <v>20.3</v>
      </c>
      <c r="F4" s="31">
        <f>IF(AND(AB4&lt;&gt;"",D4&lt;&gt;""),(D4-AB4),"")</f>
        <v>31.6</v>
      </c>
      <c r="G4" s="31">
        <f>IF(AND(AC4&lt;&gt;"",E4&lt;&gt;""),(E4-AC4),"")</f>
        <v>20.3</v>
      </c>
      <c r="H4" s="28">
        <v>169.98500000000001</v>
      </c>
      <c r="I4" s="29">
        <v>44923.409861111111</v>
      </c>
      <c r="J4" s="30">
        <v>35.299999999999997</v>
      </c>
      <c r="K4" s="30">
        <v>22.1</v>
      </c>
      <c r="L4" s="31">
        <f>IF(AND(AB4&lt;&gt;"",J4&lt;&gt;""),(J4-AB4),"")</f>
        <v>34.199999999999996</v>
      </c>
      <c r="M4" s="31">
        <f>IF(AND(AC4&lt;&gt;"",K4&lt;&gt;""),(K4-AC4),"")</f>
        <v>22.1</v>
      </c>
      <c r="N4" s="28">
        <v>170.02699999999999</v>
      </c>
      <c r="O4" s="29">
        <v>44921.532118055555</v>
      </c>
      <c r="P4" s="30">
        <v>32.200000000000003</v>
      </c>
      <c r="Q4" s="30">
        <v>22.4</v>
      </c>
      <c r="R4" s="31">
        <f>IF(AND(AB4&lt;&gt;"",P4&lt;&gt;""),(P4-AB4),"")</f>
        <v>31.1</v>
      </c>
      <c r="S4" s="31">
        <f>IF(AND(AC4&lt;&gt;"",Q4&lt;&gt;""),(Q4-AC4),"")</f>
        <v>22.4</v>
      </c>
      <c r="T4" s="28">
        <v>169.97800000000001</v>
      </c>
      <c r="U4" s="29">
        <v>44922.704050925924</v>
      </c>
      <c r="V4" s="30">
        <v>34.6</v>
      </c>
      <c r="W4" s="30">
        <v>20.8</v>
      </c>
      <c r="X4" s="31">
        <f>IF(AND(AB4&lt;&gt;"",V4&lt;&gt;""),(V4-AB4),"")</f>
        <v>33.5</v>
      </c>
      <c r="Y4" s="31">
        <f>IF(AND(AC4&lt;&gt;"",W4&lt;&gt;""),(W4-AC4),"")</f>
        <v>20.8</v>
      </c>
      <c r="Z4" s="32">
        <f>IF(T4="","",IF(LEFT([1]Pesos_Blancos!A2,2)="QC",T4,IF(ABS((N4-T4))&lt;=0.05,(N4+T4)/2,"Error")))</f>
        <v>170.0025</v>
      </c>
      <c r="AA4" s="32">
        <f>IF(A4="","",IF(LEFT([1]Pesos_Blancos!A2,2)="QC",T4,IF(OR([1]Pesos_Blancos!F2&gt;Z4,Z4="Error"),"VERIFIQUE",ABS([1]Pesos_Blancos!F2-Z4))))</f>
        <v>1.2609999999999957</v>
      </c>
      <c r="AB4" s="30">
        <v>1.1000000000000001</v>
      </c>
      <c r="AC4" s="30">
        <v>0</v>
      </c>
      <c r="AD4" s="30" t="s">
        <v>26</v>
      </c>
    </row>
    <row r="5" spans="1:30" x14ac:dyDescent="0.25">
      <c r="A5" s="27" t="str">
        <f>IF([1]Pesos_Blancos!A3&lt;&gt;"",[1]Pesos_Blancos!A3,"")</f>
        <v>D9108227</v>
      </c>
      <c r="B5" s="28">
        <v>170.52799999999999</v>
      </c>
      <c r="C5" s="29">
        <v>44922.820057870369</v>
      </c>
      <c r="D5" s="30">
        <v>32.700000000000003</v>
      </c>
      <c r="E5" s="30">
        <v>20.3</v>
      </c>
      <c r="F5" s="31">
        <f t="shared" ref="F5:G24" si="0">IF(AND(AB5&lt;&gt;"",D5&lt;&gt;""),(D5-AB5),"")</f>
        <v>31.6</v>
      </c>
      <c r="G5" s="31">
        <f t="shared" si="0"/>
        <v>20.3</v>
      </c>
      <c r="H5" s="28">
        <v>170.53100000000001</v>
      </c>
      <c r="I5" s="29">
        <v>44923.410960648151</v>
      </c>
      <c r="J5" s="30">
        <v>35.299999999999997</v>
      </c>
      <c r="K5" s="30">
        <v>22.1</v>
      </c>
      <c r="L5" s="31">
        <f t="shared" ref="L5:M24" si="1">IF(AND(AB5&lt;&gt;"",J5&lt;&gt;""),(J5-AB5),"")</f>
        <v>34.199999999999996</v>
      </c>
      <c r="M5" s="31">
        <f t="shared" si="1"/>
        <v>22.1</v>
      </c>
      <c r="N5" s="28">
        <v>170.535</v>
      </c>
      <c r="O5" s="29">
        <v>44921.532650462963</v>
      </c>
      <c r="P5" s="30">
        <v>32.200000000000003</v>
      </c>
      <c r="Q5" s="30">
        <v>22.4</v>
      </c>
      <c r="R5" s="31">
        <f t="shared" ref="R5:S24" si="2">IF(AND(AB5&lt;&gt;"",P5&lt;&gt;""),(P5-AB5),"")</f>
        <v>31.1</v>
      </c>
      <c r="S5" s="31">
        <f t="shared" si="2"/>
        <v>22.4</v>
      </c>
      <c r="T5" s="28">
        <v>170.53</v>
      </c>
      <c r="U5" s="29">
        <v>44922.706018518518</v>
      </c>
      <c r="V5" s="30">
        <v>34.6</v>
      </c>
      <c r="W5" s="30">
        <v>20.8</v>
      </c>
      <c r="X5" s="31">
        <f t="shared" ref="X5:Y24" si="3">IF(AND(AB5&lt;&gt;"",V5&lt;&gt;""),(V5-AB5),"")</f>
        <v>33.5</v>
      </c>
      <c r="Y5" s="31">
        <f t="shared" si="3"/>
        <v>20.8</v>
      </c>
      <c r="Z5" s="32">
        <f>IF(T5="","",IF(LEFT([1]Pesos_Blancos!A3,2)="QC",T5,IF(ABS((N5-T5))&lt;=0.05,(N5+T5)/2,"Error")))</f>
        <v>170.5325</v>
      </c>
      <c r="AA5" s="32">
        <f>IF(A5="","",IF(LEFT([1]Pesos_Blancos!A3,2)="QC",T5,IF(OR([1]Pesos_Blancos!F3&gt;Z5,Z5="Error"),"VERIFIQUE",ABS([1]Pesos_Blancos!F3-Z5))))</f>
        <v>0.99199999999999022</v>
      </c>
      <c r="AB5" s="30">
        <v>1.1000000000000001</v>
      </c>
      <c r="AC5" s="30">
        <v>0</v>
      </c>
      <c r="AD5" s="30" t="s">
        <v>26</v>
      </c>
    </row>
    <row r="6" spans="1:30" x14ac:dyDescent="0.25">
      <c r="A6" s="27" t="str">
        <f>IF([1]Pesos_Blancos!A4&lt;&gt;"",[1]Pesos_Blancos!A4,"")</f>
        <v>D9109403</v>
      </c>
      <c r="B6" s="28">
        <v>165.29300000000001</v>
      </c>
      <c r="C6" s="29">
        <v>44922.820949074077</v>
      </c>
      <c r="D6" s="30">
        <v>32.700000000000003</v>
      </c>
      <c r="E6" s="30">
        <v>20.3</v>
      </c>
      <c r="F6" s="31">
        <f t="shared" si="0"/>
        <v>31.6</v>
      </c>
      <c r="G6" s="31">
        <f t="shared" si="0"/>
        <v>20.3</v>
      </c>
      <c r="H6" s="28">
        <v>165.298</v>
      </c>
      <c r="I6" s="29">
        <v>44923.412060185183</v>
      </c>
      <c r="J6" s="30">
        <v>35.299999999999997</v>
      </c>
      <c r="K6" s="30">
        <v>22.1</v>
      </c>
      <c r="L6" s="31">
        <f t="shared" si="1"/>
        <v>34.199999999999996</v>
      </c>
      <c r="M6" s="31">
        <f t="shared" si="1"/>
        <v>22.1</v>
      </c>
      <c r="N6" s="28">
        <v>165.28</v>
      </c>
      <c r="O6" s="29">
        <v>44921.533182812498</v>
      </c>
      <c r="P6" s="30">
        <v>32.200000000000003</v>
      </c>
      <c r="Q6" s="30">
        <v>22.4</v>
      </c>
      <c r="R6" s="31">
        <f t="shared" si="2"/>
        <v>31.1</v>
      </c>
      <c r="S6" s="31">
        <f t="shared" si="2"/>
        <v>22.4</v>
      </c>
      <c r="T6" s="28">
        <v>165.29900000000001</v>
      </c>
      <c r="U6" s="29">
        <v>44922.707986053239</v>
      </c>
      <c r="V6" s="30">
        <v>34.6</v>
      </c>
      <c r="W6" s="30">
        <v>20.8</v>
      </c>
      <c r="X6" s="31">
        <f t="shared" si="3"/>
        <v>33.5</v>
      </c>
      <c r="Y6" s="31">
        <f t="shared" si="3"/>
        <v>20.8</v>
      </c>
      <c r="Z6" s="32">
        <f>IF(T6="","",IF(LEFT([1]Pesos_Blancos!A4,2)="QC",T6,IF(ABS((N6-T6))&lt;=0.05,(N6+T6)/2,"Error")))</f>
        <v>165.2895</v>
      </c>
      <c r="AA6" s="32">
        <f>IF(A6="","",IF(LEFT([1]Pesos_Blancos!A4,2)="QC",T6,IF(OR([1]Pesos_Blancos!F4&gt;Z6,Z6="Error"),"VERIFIQUE",ABS([1]Pesos_Blancos!F4-Z6))))</f>
        <v>1.467000000000013</v>
      </c>
      <c r="AB6" s="30">
        <v>1.1000000000000001</v>
      </c>
      <c r="AC6" s="30">
        <v>0</v>
      </c>
      <c r="AD6" s="30" t="s">
        <v>26</v>
      </c>
    </row>
    <row r="7" spans="1:30" x14ac:dyDescent="0.25">
      <c r="A7" s="27" t="str">
        <f>IF([1]Pesos_Blancos!A5&lt;&gt;"",[1]Pesos_Blancos!A5,"")</f>
        <v>D9109404</v>
      </c>
      <c r="B7" s="28">
        <v>167.25800000000001</v>
      </c>
      <c r="C7" s="29">
        <v>44922.821689814817</v>
      </c>
      <c r="D7" s="30">
        <v>32.700000000000003</v>
      </c>
      <c r="E7" s="30">
        <v>20.3</v>
      </c>
      <c r="F7" s="31">
        <f t="shared" si="0"/>
        <v>31.6</v>
      </c>
      <c r="G7" s="31">
        <f t="shared" si="0"/>
        <v>20.3</v>
      </c>
      <c r="H7" s="28">
        <v>167.26300000000001</v>
      </c>
      <c r="I7" s="29">
        <v>44923.413090277776</v>
      </c>
      <c r="J7" s="30">
        <v>35.299999999999997</v>
      </c>
      <c r="K7" s="30">
        <v>22.1</v>
      </c>
      <c r="L7" s="31">
        <f t="shared" si="1"/>
        <v>34.199999999999996</v>
      </c>
      <c r="M7" s="31">
        <f t="shared" si="1"/>
        <v>22.1</v>
      </c>
      <c r="N7" s="28">
        <v>167.226</v>
      </c>
      <c r="O7" s="29">
        <v>44921.533715219906</v>
      </c>
      <c r="P7" s="30">
        <v>32.200000000000003</v>
      </c>
      <c r="Q7" s="30">
        <v>22.4</v>
      </c>
      <c r="R7" s="31">
        <f t="shared" si="2"/>
        <v>31.1</v>
      </c>
      <c r="S7" s="31">
        <f t="shared" si="2"/>
        <v>22.4</v>
      </c>
      <c r="T7" s="28">
        <v>167.268</v>
      </c>
      <c r="U7" s="29">
        <v>44922.709953645834</v>
      </c>
      <c r="V7" s="30">
        <v>34.6</v>
      </c>
      <c r="W7" s="30">
        <v>20.8</v>
      </c>
      <c r="X7" s="31">
        <f t="shared" si="3"/>
        <v>33.5</v>
      </c>
      <c r="Y7" s="31">
        <f t="shared" si="3"/>
        <v>20.8</v>
      </c>
      <c r="Z7" s="32">
        <f>IF(T7="","",IF(LEFT([1]Pesos_Blancos!A5,2)="QC",T7,IF(ABS((N7-T7))&lt;=0.05,(N7+T7)/2,"Error")))</f>
        <v>167.24700000000001</v>
      </c>
      <c r="AA7" s="32">
        <f>IF(A7="","",IF(LEFT([1]Pesos_Blancos!A5,2)="QC",T7,IF(OR([1]Pesos_Blancos!F5&gt;Z7,Z7="Error"),"VERIFIQUE",ABS([1]Pesos_Blancos!F5-Z7))))</f>
        <v>1.4715000000000202</v>
      </c>
      <c r="AB7" s="30">
        <v>1.1000000000000001</v>
      </c>
      <c r="AC7" s="30">
        <v>0</v>
      </c>
      <c r="AD7" s="30" t="s">
        <v>26</v>
      </c>
    </row>
    <row r="8" spans="1:30" x14ac:dyDescent="0.25">
      <c r="A8" s="27" t="str">
        <f>IF([1]Pesos_Blancos!A6&lt;&gt;"",[1]Pesos_Blancos!A6,"")</f>
        <v>D9099287</v>
      </c>
      <c r="B8" s="28">
        <v>172.054</v>
      </c>
      <c r="C8" s="29">
        <v>44922.822326388887</v>
      </c>
      <c r="D8" s="30">
        <v>32.700000000000003</v>
      </c>
      <c r="E8" s="30">
        <v>20.3</v>
      </c>
      <c r="F8" s="31">
        <f t="shared" si="0"/>
        <v>31.6</v>
      </c>
      <c r="G8" s="31">
        <f t="shared" si="0"/>
        <v>20.3</v>
      </c>
      <c r="H8" s="28">
        <v>172.04900000000001</v>
      </c>
      <c r="I8" s="29">
        <v>44923.413923611108</v>
      </c>
      <c r="J8" s="30">
        <v>35.299999999999997</v>
      </c>
      <c r="K8" s="30">
        <v>22.1</v>
      </c>
      <c r="L8" s="31">
        <f t="shared" si="1"/>
        <v>34.199999999999996</v>
      </c>
      <c r="M8" s="31">
        <f t="shared" si="1"/>
        <v>22.1</v>
      </c>
      <c r="N8" s="28">
        <v>172.07400000000001</v>
      </c>
      <c r="O8" s="29">
        <v>44921.534247627314</v>
      </c>
      <c r="P8" s="30">
        <v>32.200000000000003</v>
      </c>
      <c r="Q8" s="30">
        <v>22.4</v>
      </c>
      <c r="R8" s="31">
        <f t="shared" si="2"/>
        <v>31.1</v>
      </c>
      <c r="S8" s="31">
        <f t="shared" si="2"/>
        <v>22.4</v>
      </c>
      <c r="T8" s="28">
        <v>172.077</v>
      </c>
      <c r="U8" s="29">
        <v>44922.711921238428</v>
      </c>
      <c r="V8" s="30">
        <v>34.6</v>
      </c>
      <c r="W8" s="30">
        <v>20.8</v>
      </c>
      <c r="X8" s="31">
        <f t="shared" si="3"/>
        <v>33.5</v>
      </c>
      <c r="Y8" s="31">
        <f t="shared" si="3"/>
        <v>20.8</v>
      </c>
      <c r="Z8" s="32">
        <f>IF(T8="","",IF(LEFT([1]Pesos_Blancos!A6,2)="QC",T8,IF(ABS((N8-T8))&lt;=0.05,(N8+T8)/2,"Error")))</f>
        <v>172.07550000000001</v>
      </c>
      <c r="AA8" s="32">
        <f>IF(A8="","",IF(LEFT([1]Pesos_Blancos!A6,2)="QC",T8,IF(OR([1]Pesos_Blancos!F6&gt;Z8,Z8="Error"),"VERIFIQUE",ABS([1]Pesos_Blancos!F6-Z8))))</f>
        <v>3.411500000000018</v>
      </c>
      <c r="AB8" s="30">
        <v>1.1000000000000001</v>
      </c>
      <c r="AC8" s="30">
        <v>0</v>
      </c>
      <c r="AD8" s="30" t="s">
        <v>26</v>
      </c>
    </row>
    <row r="9" spans="1:30" x14ac:dyDescent="0.25">
      <c r="A9" s="27" t="str">
        <f>IF([1]Pesos_Blancos!A7&lt;&gt;"",[1]Pesos_Blancos!A7,"")</f>
        <v>D9104500</v>
      </c>
      <c r="B9" s="28">
        <v>167.19300000000001</v>
      </c>
      <c r="C9" s="29">
        <v>44922.822974537034</v>
      </c>
      <c r="D9" s="30">
        <v>32.700000000000003</v>
      </c>
      <c r="E9" s="30">
        <v>20.3</v>
      </c>
      <c r="F9" s="31">
        <f t="shared" si="0"/>
        <v>31.6</v>
      </c>
      <c r="G9" s="31">
        <f t="shared" si="0"/>
        <v>20.3</v>
      </c>
      <c r="H9" s="28">
        <v>167.16300000000001</v>
      </c>
      <c r="I9" s="29">
        <v>44923.414583333331</v>
      </c>
      <c r="J9" s="30">
        <v>35.299999999999997</v>
      </c>
      <c r="K9" s="30">
        <v>22.1</v>
      </c>
      <c r="L9" s="31">
        <f t="shared" si="1"/>
        <v>34.199999999999996</v>
      </c>
      <c r="M9" s="31">
        <f t="shared" si="1"/>
        <v>22.1</v>
      </c>
      <c r="N9" s="28">
        <v>169.167</v>
      </c>
      <c r="O9" s="29">
        <v>44921.534780034723</v>
      </c>
      <c r="P9" s="30">
        <v>32.200000000000003</v>
      </c>
      <c r="Q9" s="30">
        <v>22.4</v>
      </c>
      <c r="R9" s="31">
        <f t="shared" si="2"/>
        <v>31.1</v>
      </c>
      <c r="S9" s="31">
        <f t="shared" si="2"/>
        <v>22.4</v>
      </c>
      <c r="T9" s="28">
        <v>169.19200000000001</v>
      </c>
      <c r="U9" s="29">
        <v>44922.713888831022</v>
      </c>
      <c r="V9" s="30">
        <v>34.6</v>
      </c>
      <c r="W9" s="30">
        <v>20.8</v>
      </c>
      <c r="X9" s="31">
        <f t="shared" si="3"/>
        <v>33.5</v>
      </c>
      <c r="Y9" s="31">
        <f t="shared" si="3"/>
        <v>20.8</v>
      </c>
      <c r="Z9" s="32">
        <f>IF(T9="","",IF(LEFT([1]Pesos_Blancos!A7,2)="QC",T9,IF(ABS((N9-T9))&lt;=0.05,(N9+T9)/2,"Error")))</f>
        <v>169.17950000000002</v>
      </c>
      <c r="AA9" s="32">
        <f>IF(A9="","",IF(LEFT([1]Pesos_Blancos!A7,2)="QC",T9,IF(OR([1]Pesos_Blancos!F7&gt;Z9,Z9="Error"),"VERIFIQUE",ABS([1]Pesos_Blancos!F7-Z9))))</f>
        <v>2.1800000000000068</v>
      </c>
      <c r="AB9" s="30">
        <v>1.1000000000000001</v>
      </c>
      <c r="AC9" s="30">
        <v>0</v>
      </c>
      <c r="AD9" s="30" t="s">
        <v>26</v>
      </c>
    </row>
    <row r="10" spans="1:30" x14ac:dyDescent="0.25">
      <c r="A10" s="27" t="str">
        <f>IF([1]Pesos_Blancos!A8&lt;&gt;"",[1]Pesos_Blancos!A8,"")</f>
        <v>D9104501</v>
      </c>
      <c r="B10" s="28">
        <v>167.61</v>
      </c>
      <c r="C10" s="29">
        <v>44922.82403935185</v>
      </c>
      <c r="D10" s="30">
        <v>32.700000000000003</v>
      </c>
      <c r="E10" s="30">
        <v>20.3</v>
      </c>
      <c r="F10" s="31">
        <f t="shared" si="0"/>
        <v>31.6</v>
      </c>
      <c r="G10" s="31">
        <f t="shared" si="0"/>
        <v>20.3</v>
      </c>
      <c r="H10" s="28">
        <v>167.61500000000001</v>
      </c>
      <c r="I10" s="29">
        <v>44923.415567129632</v>
      </c>
      <c r="J10" s="30">
        <v>35.299999999999997</v>
      </c>
      <c r="K10" s="30">
        <v>22.1</v>
      </c>
      <c r="L10" s="31">
        <f t="shared" si="1"/>
        <v>34.199999999999996</v>
      </c>
      <c r="M10" s="31">
        <f t="shared" si="1"/>
        <v>22.1</v>
      </c>
      <c r="N10" s="28">
        <v>167.60499999999999</v>
      </c>
      <c r="O10" s="29">
        <v>44921.535312442131</v>
      </c>
      <c r="P10" s="30">
        <v>32.200000000000003</v>
      </c>
      <c r="Q10" s="30">
        <v>22.4</v>
      </c>
      <c r="R10" s="31">
        <f t="shared" si="2"/>
        <v>31.1</v>
      </c>
      <c r="S10" s="31">
        <f t="shared" si="2"/>
        <v>22.4</v>
      </c>
      <c r="T10" s="28">
        <v>167.572</v>
      </c>
      <c r="U10" s="29">
        <v>44922.715856423609</v>
      </c>
      <c r="V10" s="30">
        <v>34.6</v>
      </c>
      <c r="W10" s="30">
        <v>20.8</v>
      </c>
      <c r="X10" s="31">
        <f t="shared" si="3"/>
        <v>33.5</v>
      </c>
      <c r="Y10" s="31">
        <f t="shared" si="3"/>
        <v>20.8</v>
      </c>
      <c r="Z10" s="32">
        <f>IF(T10="","",IF(LEFT([1]Pesos_Blancos!A8,2)="QC",T10,IF(ABS((N10-T10))&lt;=0.05,(N10+T10)/2,"Error")))</f>
        <v>167.58850000000001</v>
      </c>
      <c r="AA10" s="32">
        <f>IF(A10="","",IF(LEFT([1]Pesos_Blancos!A8,2)="QC",T10,IF(OR([1]Pesos_Blancos!F8&gt;Z10,Z10="Error"),"VERIFIQUE",ABS([1]Pesos_Blancos!F8-Z10))))</f>
        <v>1.51400000000001</v>
      </c>
      <c r="AB10" s="30">
        <v>1.1000000000000001</v>
      </c>
      <c r="AC10" s="30">
        <v>0</v>
      </c>
      <c r="AD10" s="30" t="s">
        <v>26</v>
      </c>
    </row>
    <row r="11" spans="1:30" x14ac:dyDescent="0.25">
      <c r="A11" s="27" t="str">
        <f>IF([1]Pesos_Blancos!A9&lt;&gt;"",[1]Pesos_Blancos!A9,"")</f>
        <v>D9108278</v>
      </c>
      <c r="B11" s="28">
        <v>169.45400000000001</v>
      </c>
      <c r="C11" s="29">
        <v>44922.824687499997</v>
      </c>
      <c r="D11" s="30">
        <v>32.700000000000003</v>
      </c>
      <c r="E11" s="30">
        <v>20.3</v>
      </c>
      <c r="F11" s="31">
        <f t="shared" si="0"/>
        <v>31.6</v>
      </c>
      <c r="G11" s="31">
        <f t="shared" si="0"/>
        <v>20.3</v>
      </c>
      <c r="H11" s="28">
        <v>169.44800000000001</v>
      </c>
      <c r="I11" s="29">
        <v>44923.416562500002</v>
      </c>
      <c r="J11" s="30">
        <v>35.299999999999997</v>
      </c>
      <c r="K11" s="30">
        <v>22.1</v>
      </c>
      <c r="L11" s="31">
        <f t="shared" si="1"/>
        <v>34.199999999999996</v>
      </c>
      <c r="M11" s="31">
        <f t="shared" si="1"/>
        <v>22.1</v>
      </c>
      <c r="N11" s="28">
        <v>169.47399999999999</v>
      </c>
      <c r="O11" s="29">
        <v>44921.535844849539</v>
      </c>
      <c r="P11" s="30">
        <v>32.200000000000003</v>
      </c>
      <c r="Q11" s="30">
        <v>22.4</v>
      </c>
      <c r="R11" s="31">
        <f t="shared" si="2"/>
        <v>31.1</v>
      </c>
      <c r="S11" s="31">
        <f t="shared" si="2"/>
        <v>22.4</v>
      </c>
      <c r="T11" s="28">
        <v>169.495</v>
      </c>
      <c r="U11" s="29">
        <v>44922.717824016203</v>
      </c>
      <c r="V11" s="30">
        <v>34.6</v>
      </c>
      <c r="W11" s="30">
        <v>20.8</v>
      </c>
      <c r="X11" s="31">
        <f t="shared" si="3"/>
        <v>33.5</v>
      </c>
      <c r="Y11" s="31">
        <f t="shared" si="3"/>
        <v>20.8</v>
      </c>
      <c r="Z11" s="32">
        <f>IF(T11="","",IF(LEFT([1]Pesos_Blancos!A9,2)="QC",T11,IF(ABS((N11-T11))&lt;=0.05,(N11+T11)/2,"Error")))</f>
        <v>169.4845</v>
      </c>
      <c r="AA11" s="32">
        <f>IF(A11="","",IF(LEFT([1]Pesos_Blancos!A9,2)="QC",T11,IF(OR([1]Pesos_Blancos!F9&gt;Z11,Z11="Error"),"VERIFIQUE",ABS([1]Pesos_Blancos!F9-Z11))))</f>
        <v>0.50399999999999068</v>
      </c>
      <c r="AB11" s="30">
        <v>1.1000000000000001</v>
      </c>
      <c r="AC11" s="30">
        <v>0</v>
      </c>
      <c r="AD11" s="30" t="s">
        <v>26</v>
      </c>
    </row>
    <row r="12" spans="1:30" x14ac:dyDescent="0.25">
      <c r="A12" s="27" t="str">
        <f>IF([1]Pesos_Blancos!A10&lt;&gt;"",[1]Pesos_Blancos!A10,"")</f>
        <v>D9108279</v>
      </c>
      <c r="B12" s="28">
        <v>169.428</v>
      </c>
      <c r="C12" s="29">
        <v>44922.825555555559</v>
      </c>
      <c r="D12" s="30">
        <v>32.700000000000003</v>
      </c>
      <c r="E12" s="30">
        <v>20.3</v>
      </c>
      <c r="F12" s="31">
        <f t="shared" si="0"/>
        <v>31.6</v>
      </c>
      <c r="G12" s="31">
        <f t="shared" si="0"/>
        <v>20.3</v>
      </c>
      <c r="H12" s="28">
        <v>169.43100000000001</v>
      </c>
      <c r="I12" s="29">
        <v>44923.417708333334</v>
      </c>
      <c r="J12" s="30">
        <v>35.299999999999997</v>
      </c>
      <c r="K12" s="30">
        <v>22.1</v>
      </c>
      <c r="L12" s="31">
        <f t="shared" si="1"/>
        <v>34.199999999999996</v>
      </c>
      <c r="M12" s="31">
        <f t="shared" si="1"/>
        <v>22.1</v>
      </c>
      <c r="N12" s="28">
        <v>169.48</v>
      </c>
      <c r="O12" s="29">
        <v>44921.536377256947</v>
      </c>
      <c r="P12" s="30">
        <v>32.200000000000003</v>
      </c>
      <c r="Q12" s="30">
        <v>22.4</v>
      </c>
      <c r="R12" s="31">
        <f t="shared" si="2"/>
        <v>31.1</v>
      </c>
      <c r="S12" s="31">
        <f t="shared" si="2"/>
        <v>22.4</v>
      </c>
      <c r="T12" s="28">
        <v>169.46299999999999</v>
      </c>
      <c r="U12" s="29">
        <v>44922.719791608797</v>
      </c>
      <c r="V12" s="30">
        <v>34.6</v>
      </c>
      <c r="W12" s="30">
        <v>20.8</v>
      </c>
      <c r="X12" s="31">
        <f t="shared" si="3"/>
        <v>33.5</v>
      </c>
      <c r="Y12" s="31">
        <f t="shared" si="3"/>
        <v>20.8</v>
      </c>
      <c r="Z12" s="32">
        <f>IF(T12="","",IF(LEFT([1]Pesos_Blancos!A10,2)="QC",T12,IF(ABS((N12-T12))&lt;=0.05,(N12+T12)/2,"Error")))</f>
        <v>169.47149999999999</v>
      </c>
      <c r="AA12" s="32">
        <f>IF(A12="","",IF(LEFT([1]Pesos_Blancos!A10,2)="QC",T12,IF(OR([1]Pesos_Blancos!F10&gt;Z12,Z12="Error"),"VERIFIQUE",ABS([1]Pesos_Blancos!F10-Z12))))</f>
        <v>0.37899999999999068</v>
      </c>
      <c r="AB12" s="30">
        <v>1.1000000000000001</v>
      </c>
      <c r="AC12" s="30">
        <v>0</v>
      </c>
      <c r="AD12" s="30" t="s">
        <v>26</v>
      </c>
    </row>
    <row r="13" spans="1:30" x14ac:dyDescent="0.25">
      <c r="A13" s="27" t="str">
        <f>IF([1]Pesos_Blancos!A11&lt;&gt;"",[1]Pesos_Blancos!A11,"")</f>
        <v>D9108239</v>
      </c>
      <c r="B13" s="28">
        <v>169.935</v>
      </c>
      <c r="C13" s="29">
        <v>44922.826180555552</v>
      </c>
      <c r="D13" s="30">
        <v>32.700000000000003</v>
      </c>
      <c r="E13" s="30">
        <v>20.3</v>
      </c>
      <c r="F13" s="31">
        <f t="shared" si="0"/>
        <v>31.6</v>
      </c>
      <c r="G13" s="31">
        <f t="shared" si="0"/>
        <v>20.3</v>
      </c>
      <c r="H13" s="28">
        <v>169.941</v>
      </c>
      <c r="I13" s="29">
        <v>44923.418437499997</v>
      </c>
      <c r="J13" s="30">
        <v>35.299999999999997</v>
      </c>
      <c r="K13" s="30">
        <v>22.1</v>
      </c>
      <c r="L13" s="31">
        <f t="shared" si="1"/>
        <v>34.199999999999996</v>
      </c>
      <c r="M13" s="31">
        <f t="shared" si="1"/>
        <v>22.1</v>
      </c>
      <c r="N13" s="28">
        <v>169.93199999999999</v>
      </c>
      <c r="O13" s="29">
        <v>44921.536909664355</v>
      </c>
      <c r="P13" s="30">
        <v>32.200000000000003</v>
      </c>
      <c r="Q13" s="30">
        <v>22.4</v>
      </c>
      <c r="R13" s="31">
        <f t="shared" si="2"/>
        <v>31.1</v>
      </c>
      <c r="S13" s="31">
        <f t="shared" si="2"/>
        <v>22.4</v>
      </c>
      <c r="T13" s="28">
        <v>169.91499999999999</v>
      </c>
      <c r="U13" s="29">
        <v>44922.721759201391</v>
      </c>
      <c r="V13" s="30">
        <v>34.6</v>
      </c>
      <c r="W13" s="30">
        <v>20.8</v>
      </c>
      <c r="X13" s="31">
        <f t="shared" si="3"/>
        <v>33.5</v>
      </c>
      <c r="Y13" s="31">
        <f t="shared" si="3"/>
        <v>20.8</v>
      </c>
      <c r="Z13" s="32">
        <f>IF(T13="","",IF(LEFT([1]Pesos_Blancos!A11,2)="QC",T13,IF(ABS((N13-T13))&lt;=0.05,(N13+T13)/2,"Error")))</f>
        <v>169.92349999999999</v>
      </c>
      <c r="AA13" s="32">
        <f>IF(A13="","",IF(LEFT([1]Pesos_Blancos!A11,2)="QC",T13,IF(OR([1]Pesos_Blancos!F11&gt;Z13,Z13="Error"),"VERIFIQUE",ABS([1]Pesos_Blancos!F11-Z13))))</f>
        <v>0.67799999999999727</v>
      </c>
      <c r="AB13" s="30">
        <v>1.1000000000000001</v>
      </c>
      <c r="AC13" s="30">
        <v>0</v>
      </c>
      <c r="AD13" s="30" t="s">
        <v>26</v>
      </c>
    </row>
    <row r="14" spans="1:30" x14ac:dyDescent="0.25">
      <c r="A14" s="27" t="str">
        <f>IF([1]Pesos_Blancos!A12&lt;&gt;"",[1]Pesos_Blancos!A12,"")</f>
        <v>D9108240</v>
      </c>
      <c r="B14" s="28">
        <v>169.86</v>
      </c>
      <c r="C14" s="29">
        <v>44922.826886574076</v>
      </c>
      <c r="D14" s="30">
        <v>32.700000000000003</v>
      </c>
      <c r="E14" s="30">
        <v>20.3</v>
      </c>
      <c r="F14" s="31">
        <f t="shared" si="0"/>
        <v>31.6</v>
      </c>
      <c r="G14" s="31">
        <f t="shared" si="0"/>
        <v>20.3</v>
      </c>
      <c r="H14" s="28">
        <v>169.845</v>
      </c>
      <c r="I14" s="29">
        <v>44923.419236111113</v>
      </c>
      <c r="J14" s="30">
        <v>35.299999999999997</v>
      </c>
      <c r="K14" s="30">
        <v>22.1</v>
      </c>
      <c r="L14" s="31">
        <f t="shared" si="1"/>
        <v>34.199999999999996</v>
      </c>
      <c r="M14" s="31">
        <f t="shared" si="1"/>
        <v>22.1</v>
      </c>
      <c r="N14" s="28">
        <v>169.85300000000001</v>
      </c>
      <c r="O14" s="29">
        <v>44921.537442071756</v>
      </c>
      <c r="P14" s="30">
        <v>32.200000000000003</v>
      </c>
      <c r="Q14" s="30">
        <v>22.4</v>
      </c>
      <c r="R14" s="31">
        <f t="shared" si="2"/>
        <v>31.1</v>
      </c>
      <c r="S14" s="31">
        <f t="shared" si="2"/>
        <v>22.4</v>
      </c>
      <c r="T14" s="28">
        <v>169.864</v>
      </c>
      <c r="U14" s="29">
        <v>44922.723726793978</v>
      </c>
      <c r="V14" s="30">
        <v>34.6</v>
      </c>
      <c r="W14" s="30">
        <v>20.8</v>
      </c>
      <c r="X14" s="31">
        <f t="shared" si="3"/>
        <v>33.5</v>
      </c>
      <c r="Y14" s="31">
        <f t="shared" si="3"/>
        <v>20.8</v>
      </c>
      <c r="Z14" s="32">
        <f>IF(T14="","",IF(LEFT([1]Pesos_Blancos!A12,2)="QC",T14,IF(ABS((N14-T14))&lt;=0.05,(N14+T14)/2,"Error")))</f>
        <v>169.85849999999999</v>
      </c>
      <c r="AA14" s="32">
        <f>IF(A14="","",IF(LEFT([1]Pesos_Blancos!A12,2)="QC",T14,IF(OR([1]Pesos_Blancos!F12&gt;Z14,Z14="Error"),"VERIFIQUE",ABS([1]Pesos_Blancos!F12-Z14))))</f>
        <v>1.0134999999999934</v>
      </c>
      <c r="AB14" s="30">
        <v>1.1000000000000001</v>
      </c>
      <c r="AC14" s="30">
        <v>0</v>
      </c>
      <c r="AD14" s="30" t="s">
        <v>26</v>
      </c>
    </row>
    <row r="15" spans="1:30" x14ac:dyDescent="0.25">
      <c r="A15" s="27" t="str">
        <f>IF([1]Pesos_Blancos!A13&lt;&gt;"",[1]Pesos_Blancos!A13,"")</f>
        <v>D9108252</v>
      </c>
      <c r="B15" s="28">
        <v>168.33799999999999</v>
      </c>
      <c r="C15" s="29">
        <v>44922.827627314815</v>
      </c>
      <c r="D15" s="30">
        <v>32.700000000000003</v>
      </c>
      <c r="E15" s="30">
        <v>20.3</v>
      </c>
      <c r="F15" s="31">
        <f t="shared" si="0"/>
        <v>31.6</v>
      </c>
      <c r="G15" s="31">
        <f t="shared" si="0"/>
        <v>20.3</v>
      </c>
      <c r="H15" s="28">
        <v>168.31200000000001</v>
      </c>
      <c r="I15" s="29">
        <v>44923.420706018522</v>
      </c>
      <c r="J15" s="30">
        <v>35.299999999999997</v>
      </c>
      <c r="K15" s="30">
        <v>22.1</v>
      </c>
      <c r="L15" s="31">
        <f t="shared" si="1"/>
        <v>34.199999999999996</v>
      </c>
      <c r="M15" s="31">
        <f t="shared" si="1"/>
        <v>22.1</v>
      </c>
      <c r="N15" s="28">
        <v>168.29499999999999</v>
      </c>
      <c r="O15" s="29">
        <v>44921.537974479164</v>
      </c>
      <c r="P15" s="30">
        <v>32.200000000000003</v>
      </c>
      <c r="Q15" s="30">
        <v>22.4</v>
      </c>
      <c r="R15" s="31">
        <f t="shared" si="2"/>
        <v>31.1</v>
      </c>
      <c r="S15" s="31">
        <f t="shared" si="2"/>
        <v>22.4</v>
      </c>
      <c r="T15" s="28">
        <v>168.321</v>
      </c>
      <c r="U15" s="29">
        <v>44922.725694386572</v>
      </c>
      <c r="V15" s="30">
        <v>34.6</v>
      </c>
      <c r="W15" s="30">
        <v>20.8</v>
      </c>
      <c r="X15" s="31">
        <f t="shared" si="3"/>
        <v>33.5</v>
      </c>
      <c r="Y15" s="31">
        <f t="shared" si="3"/>
        <v>20.8</v>
      </c>
      <c r="Z15" s="32">
        <f>IF(T15="","",IF(LEFT([1]Pesos_Blancos!A13,2)="QC",T15,IF(ABS((N15-T15))&lt;=0.05,(N15+T15)/2,"Error")))</f>
        <v>168.30799999999999</v>
      </c>
      <c r="AA15" s="32">
        <f>IF(A15="","",IF(LEFT([1]Pesos_Blancos!A13,2)="QC",T15,IF(OR([1]Pesos_Blancos!F13&gt;Z15,Z15="Error"),"VERIFIQUE",ABS([1]Pesos_Blancos!F13-Z15))))</f>
        <v>0.32849999999999113</v>
      </c>
      <c r="AB15" s="30">
        <v>1.1000000000000001</v>
      </c>
      <c r="AC15" s="30">
        <v>0</v>
      </c>
      <c r="AD15" s="30" t="s">
        <v>26</v>
      </c>
    </row>
    <row r="16" spans="1:30" x14ac:dyDescent="0.25">
      <c r="A16" s="27" t="str">
        <f>IF([1]Pesos_Blancos!A14&lt;&gt;"",[1]Pesos_Blancos!A14,"")</f>
        <v>D9108253</v>
      </c>
      <c r="B16" s="28">
        <v>167.98</v>
      </c>
      <c r="C16" s="29">
        <v>44922.828275462962</v>
      </c>
      <c r="D16" s="30">
        <v>32.700000000000003</v>
      </c>
      <c r="E16" s="30">
        <v>20.3</v>
      </c>
      <c r="F16" s="31">
        <f t="shared" si="0"/>
        <v>31.6</v>
      </c>
      <c r="G16" s="31">
        <f t="shared" si="0"/>
        <v>20.3</v>
      </c>
      <c r="H16" s="28">
        <v>167.964</v>
      </c>
      <c r="I16" s="29">
        <v>44923.421550925923</v>
      </c>
      <c r="J16" s="30">
        <v>35.299999999999997</v>
      </c>
      <c r="K16" s="30">
        <v>22.1</v>
      </c>
      <c r="L16" s="31">
        <f t="shared" si="1"/>
        <v>34.199999999999996</v>
      </c>
      <c r="M16" s="31">
        <f t="shared" si="1"/>
        <v>22.1</v>
      </c>
      <c r="N16" s="28">
        <v>167.958</v>
      </c>
      <c r="O16" s="29">
        <v>44921.538506886573</v>
      </c>
      <c r="P16" s="30">
        <v>32.200000000000003</v>
      </c>
      <c r="Q16" s="30">
        <v>22.4</v>
      </c>
      <c r="R16" s="31">
        <f t="shared" si="2"/>
        <v>31.1</v>
      </c>
      <c r="S16" s="31">
        <f t="shared" si="2"/>
        <v>22.4</v>
      </c>
      <c r="T16" s="28">
        <v>167.977</v>
      </c>
      <c r="U16" s="29">
        <v>44922.727661979166</v>
      </c>
      <c r="V16" s="30">
        <v>34.6</v>
      </c>
      <c r="W16" s="30">
        <v>20.8</v>
      </c>
      <c r="X16" s="31">
        <f t="shared" si="3"/>
        <v>33.5</v>
      </c>
      <c r="Y16" s="31">
        <f t="shared" si="3"/>
        <v>20.8</v>
      </c>
      <c r="Z16" s="32">
        <f>IF(T16="","",IF(LEFT([1]Pesos_Blancos!A14,2)="QC",T16,IF(ABS((N16-T16))&lt;=0.05,(N16+T16)/2,"Error")))</f>
        <v>167.9675</v>
      </c>
      <c r="AA16" s="32">
        <f>IF(A16="","",IF(LEFT([1]Pesos_Blancos!A14,2)="QC",T16,IF(OR([1]Pesos_Blancos!F14&gt;Z16,Z16="Error"),"VERIFIQUE",ABS([1]Pesos_Blancos!F14-Z16))))</f>
        <v>0.45650000000000546</v>
      </c>
      <c r="AB16" s="30">
        <v>1.1000000000000001</v>
      </c>
      <c r="AC16" s="30">
        <v>0</v>
      </c>
      <c r="AD16" s="30" t="s">
        <v>26</v>
      </c>
    </row>
    <row r="17" spans="1:30" x14ac:dyDescent="0.25">
      <c r="A17" s="27" t="str">
        <f>IF([1]Pesos_Blancos!A15&lt;&gt;"",[1]Pesos_Blancos!A15,"")</f>
        <v>D9108265</v>
      </c>
      <c r="B17" s="28">
        <v>169.97800000000001</v>
      </c>
      <c r="C17" s="29">
        <v>44922.828912037039</v>
      </c>
      <c r="D17" s="30">
        <v>32.700000000000003</v>
      </c>
      <c r="E17" s="30">
        <v>20.3</v>
      </c>
      <c r="F17" s="31">
        <f t="shared" si="0"/>
        <v>31.6</v>
      </c>
      <c r="G17" s="31">
        <f t="shared" si="0"/>
        <v>20.3</v>
      </c>
      <c r="H17" s="28">
        <v>169.983</v>
      </c>
      <c r="I17" s="29">
        <v>44923.422951388886</v>
      </c>
      <c r="J17" s="30">
        <v>35.299999999999997</v>
      </c>
      <c r="K17" s="30">
        <v>22.1</v>
      </c>
      <c r="L17" s="31">
        <f t="shared" si="1"/>
        <v>34.199999999999996</v>
      </c>
      <c r="M17" s="31">
        <f t="shared" si="1"/>
        <v>22.1</v>
      </c>
      <c r="N17" s="28">
        <v>170.041</v>
      </c>
      <c r="O17" s="29">
        <v>44921.539039293981</v>
      </c>
      <c r="P17" s="30">
        <v>32.200000000000003</v>
      </c>
      <c r="Q17" s="30">
        <v>22.4</v>
      </c>
      <c r="R17" s="31">
        <f t="shared" si="2"/>
        <v>31.1</v>
      </c>
      <c r="S17" s="31">
        <f t="shared" si="2"/>
        <v>22.4</v>
      </c>
      <c r="T17" s="28">
        <v>169.99799999999999</v>
      </c>
      <c r="U17" s="29">
        <v>44922.729629571761</v>
      </c>
      <c r="V17" s="30">
        <v>34.6</v>
      </c>
      <c r="W17" s="30">
        <v>20.8</v>
      </c>
      <c r="X17" s="31">
        <f t="shared" si="3"/>
        <v>33.5</v>
      </c>
      <c r="Y17" s="31">
        <f t="shared" si="3"/>
        <v>20.8</v>
      </c>
      <c r="Z17" s="32">
        <f>IF(T17="","",IF(LEFT([1]Pesos_Blancos!A15,2)="QC",T17,IF(ABS((N17-T17))&lt;=0.05,(N17+T17)/2,"Error")))</f>
        <v>170.01949999999999</v>
      </c>
      <c r="AA17" s="32">
        <f>IF(A17="","",IF(LEFT([1]Pesos_Blancos!A15,2)="QC",T17,IF(OR([1]Pesos_Blancos!F15&gt;Z17,Z17="Error"),"VERIFIQUE",ABS([1]Pesos_Blancos!F15-Z17))))</f>
        <v>0.40350000000000819</v>
      </c>
      <c r="AB17" s="30">
        <v>1.1000000000000001</v>
      </c>
      <c r="AC17" s="30">
        <v>0</v>
      </c>
      <c r="AD17" s="30" t="s">
        <v>26</v>
      </c>
    </row>
    <row r="18" spans="1:30" x14ac:dyDescent="0.25">
      <c r="A18" s="27" t="str">
        <f>IF([1]Pesos_Blancos!A16&lt;&gt;"",[1]Pesos_Blancos!A16,"")</f>
        <v>D9108266</v>
      </c>
      <c r="B18" s="28">
        <v>167.79599999999999</v>
      </c>
      <c r="C18" s="29">
        <v>44922.829525462963</v>
      </c>
      <c r="D18" s="30">
        <v>32.700000000000003</v>
      </c>
      <c r="E18" s="30">
        <v>20.3</v>
      </c>
      <c r="F18" s="31">
        <f t="shared" si="0"/>
        <v>31.6</v>
      </c>
      <c r="G18" s="31">
        <f t="shared" si="0"/>
        <v>20.3</v>
      </c>
      <c r="H18" s="28">
        <v>167.79400000000001</v>
      </c>
      <c r="I18" s="29">
        <v>44923.42428240741</v>
      </c>
      <c r="J18" s="30">
        <v>35.299999999999997</v>
      </c>
      <c r="K18" s="30">
        <v>22.1</v>
      </c>
      <c r="L18" s="31">
        <f t="shared" si="1"/>
        <v>34.199999999999996</v>
      </c>
      <c r="M18" s="31">
        <f t="shared" si="1"/>
        <v>22.1</v>
      </c>
      <c r="N18" s="28">
        <v>167.81</v>
      </c>
      <c r="O18" s="29">
        <v>44921.539571701389</v>
      </c>
      <c r="P18" s="30">
        <v>32.200000000000003</v>
      </c>
      <c r="Q18" s="30">
        <v>22.4</v>
      </c>
      <c r="R18" s="31">
        <f t="shared" si="2"/>
        <v>31.1</v>
      </c>
      <c r="S18" s="31">
        <f t="shared" si="2"/>
        <v>22.4</v>
      </c>
      <c r="T18" s="28">
        <v>167.809</v>
      </c>
      <c r="U18" s="29">
        <v>44922.731597164355</v>
      </c>
      <c r="V18" s="30">
        <v>34.6</v>
      </c>
      <c r="W18" s="30">
        <v>20.8</v>
      </c>
      <c r="X18" s="31">
        <f t="shared" si="3"/>
        <v>33.5</v>
      </c>
      <c r="Y18" s="31">
        <f t="shared" si="3"/>
        <v>20.8</v>
      </c>
      <c r="Z18" s="32">
        <f>IF(T18="","",IF(LEFT([1]Pesos_Blancos!A16,2)="QC",T18,IF(ABS((N18-T18))&lt;=0.05,(N18+T18)/2,"Error")))</f>
        <v>167.80950000000001</v>
      </c>
      <c r="AA18" s="32">
        <f>IF(A18="","",IF(LEFT([1]Pesos_Blancos!A16,2)="QC",T18,IF(OR([1]Pesos_Blancos!F16&gt;Z18,Z18="Error"),"VERIFIQUE",ABS([1]Pesos_Blancos!F16-Z18))))</f>
        <v>0.34000000000003183</v>
      </c>
      <c r="AB18" s="30">
        <v>1.1000000000000001</v>
      </c>
      <c r="AC18" s="30">
        <v>0</v>
      </c>
      <c r="AD18" s="30" t="s">
        <v>26</v>
      </c>
    </row>
    <row r="19" spans="1:30" x14ac:dyDescent="0.25">
      <c r="A19" s="27" t="str">
        <f>IF([1]Pesos_Blancos!A17&lt;&gt;"",[1]Pesos_Blancos!A17,"")</f>
        <v>D9104474</v>
      </c>
      <c r="B19" s="28">
        <v>167.69499999999999</v>
      </c>
      <c r="C19" s="29">
        <v>44922.830393518518</v>
      </c>
      <c r="D19" s="30">
        <v>32.700000000000003</v>
      </c>
      <c r="E19" s="30">
        <v>20.3</v>
      </c>
      <c r="F19" s="31">
        <f t="shared" si="0"/>
        <v>31.6</v>
      </c>
      <c r="G19" s="31">
        <f t="shared" si="0"/>
        <v>20.3</v>
      </c>
      <c r="H19" s="28">
        <v>167.69800000000001</v>
      </c>
      <c r="I19" s="29">
        <v>44923.430104166669</v>
      </c>
      <c r="J19" s="30">
        <v>35.299999999999997</v>
      </c>
      <c r="K19" s="30">
        <v>22.1</v>
      </c>
      <c r="L19" s="31">
        <f t="shared" si="1"/>
        <v>34.199999999999996</v>
      </c>
      <c r="M19" s="31">
        <f t="shared" si="1"/>
        <v>22.1</v>
      </c>
      <c r="N19" s="28">
        <v>167.68700000000001</v>
      </c>
      <c r="O19" s="29">
        <v>44921.540104108797</v>
      </c>
      <c r="P19" s="30">
        <v>32.200000000000003</v>
      </c>
      <c r="Q19" s="30">
        <v>22.4</v>
      </c>
      <c r="R19" s="31">
        <f t="shared" si="2"/>
        <v>31.1</v>
      </c>
      <c r="S19" s="31">
        <f t="shared" si="2"/>
        <v>22.4</v>
      </c>
      <c r="T19" s="28">
        <v>167.697</v>
      </c>
      <c r="U19" s="29">
        <v>44922.733564756942</v>
      </c>
      <c r="V19" s="30">
        <v>34.6</v>
      </c>
      <c r="W19" s="30">
        <v>20.8</v>
      </c>
      <c r="X19" s="31">
        <f t="shared" si="3"/>
        <v>33.5</v>
      </c>
      <c r="Y19" s="31">
        <f t="shared" si="3"/>
        <v>20.8</v>
      </c>
      <c r="Z19" s="32">
        <f>IF(T19="","",IF(LEFT([1]Pesos_Blancos!A17,2)="QC",T19,IF(ABS((N19-T19))&lt;=0.05,(N19+T19)/2,"Error")))</f>
        <v>167.69200000000001</v>
      </c>
      <c r="AA19" s="32">
        <f>IF(A19="","",IF(LEFT([1]Pesos_Blancos!A17,2)="QC",T19,IF(OR([1]Pesos_Blancos!F17&gt;Z19,Z19="Error"),"VERIFIQUE",ABS([1]Pesos_Blancos!F17-Z19))))</f>
        <v>1.4085000000000036</v>
      </c>
      <c r="AB19" s="30">
        <v>1.1000000000000001</v>
      </c>
      <c r="AC19" s="30">
        <v>0</v>
      </c>
      <c r="AD19" s="30" t="s">
        <v>26</v>
      </c>
    </row>
    <row r="20" spans="1:30" x14ac:dyDescent="0.25">
      <c r="A20" s="27" t="str">
        <f>IF([1]Pesos_Blancos!A18&lt;&gt;"",[1]Pesos_Blancos!A18,"")</f>
        <v>D9104475</v>
      </c>
      <c r="B20" s="28">
        <v>170.827</v>
      </c>
      <c r="C20" s="29">
        <v>44922.831053240741</v>
      </c>
      <c r="D20" s="30">
        <v>32.700000000000003</v>
      </c>
      <c r="E20" s="30">
        <v>20.3</v>
      </c>
      <c r="F20" s="31">
        <f t="shared" si="0"/>
        <v>31.6</v>
      </c>
      <c r="G20" s="31">
        <f t="shared" si="0"/>
        <v>20.3</v>
      </c>
      <c r="H20" s="28">
        <v>170.84399999999999</v>
      </c>
      <c r="I20" s="29">
        <v>44923.432812500003</v>
      </c>
      <c r="J20" s="30">
        <v>35.299999999999997</v>
      </c>
      <c r="K20" s="30">
        <v>22.1</v>
      </c>
      <c r="L20" s="31">
        <f t="shared" si="1"/>
        <v>34.199999999999996</v>
      </c>
      <c r="M20" s="31">
        <f t="shared" si="1"/>
        <v>22.1</v>
      </c>
      <c r="N20" s="28">
        <v>170.893</v>
      </c>
      <c r="O20" s="29">
        <v>44921.540636516205</v>
      </c>
      <c r="P20" s="30">
        <v>32.200000000000003</v>
      </c>
      <c r="Q20" s="30">
        <v>22.4</v>
      </c>
      <c r="R20" s="31">
        <f t="shared" si="2"/>
        <v>31.1</v>
      </c>
      <c r="S20" s="31">
        <f t="shared" si="2"/>
        <v>22.4</v>
      </c>
      <c r="T20" s="28">
        <v>170.846</v>
      </c>
      <c r="U20" s="29">
        <v>44922.735532349536</v>
      </c>
      <c r="V20" s="30">
        <v>34.6</v>
      </c>
      <c r="W20" s="30">
        <v>20.8</v>
      </c>
      <c r="X20" s="31">
        <f t="shared" si="3"/>
        <v>33.5</v>
      </c>
      <c r="Y20" s="31">
        <f t="shared" si="3"/>
        <v>20.8</v>
      </c>
      <c r="Z20" s="32">
        <f>IF(T20="","",IF(LEFT([1]Pesos_Blancos!A18,2)="QC",T20,IF(ABS((N20-T20))&lt;=0.05,(N20+T20)/2,"Error")))</f>
        <v>170.86950000000002</v>
      </c>
      <c r="AA20" s="32">
        <f>IF(A20="","",IF(LEFT([1]Pesos_Blancos!A18,2)="QC",T20,IF(OR([1]Pesos_Blancos!F18&gt;Z20,Z20="Error"),"VERIFIQUE",ABS([1]Pesos_Blancos!F18-Z20))))</f>
        <v>0.3755000000000166</v>
      </c>
      <c r="AB20" s="30">
        <v>1.1000000000000001</v>
      </c>
      <c r="AC20" s="30">
        <v>0</v>
      </c>
      <c r="AD20" s="30" t="s">
        <v>26</v>
      </c>
    </row>
    <row r="21" spans="1:30" x14ac:dyDescent="0.25">
      <c r="A21" s="27" t="str">
        <f>IF([1]Pesos_Blancos!A19&lt;&gt;"",[1]Pesos_Blancos!A19,"")</f>
        <v>D9104513</v>
      </c>
      <c r="B21" s="28">
        <v>164.994</v>
      </c>
      <c r="C21" s="29">
        <v>44922.831597222219</v>
      </c>
      <c r="D21" s="30">
        <v>32.700000000000003</v>
      </c>
      <c r="E21" s="30">
        <v>20.3</v>
      </c>
      <c r="F21" s="31">
        <f t="shared" si="0"/>
        <v>31.6</v>
      </c>
      <c r="G21" s="31">
        <f t="shared" si="0"/>
        <v>20.3</v>
      </c>
      <c r="H21" s="28">
        <v>164.988</v>
      </c>
      <c r="I21" s="29">
        <v>44923.434999999998</v>
      </c>
      <c r="J21" s="30">
        <v>35.299999999999997</v>
      </c>
      <c r="K21" s="30">
        <v>22.1</v>
      </c>
      <c r="L21" s="31">
        <f t="shared" si="1"/>
        <v>34.199999999999996</v>
      </c>
      <c r="M21" s="31">
        <f t="shared" si="1"/>
        <v>22.1</v>
      </c>
      <c r="N21" s="28">
        <v>164.99</v>
      </c>
      <c r="O21" s="29">
        <v>44921.541168923613</v>
      </c>
      <c r="P21" s="30">
        <v>32.200000000000003</v>
      </c>
      <c r="Q21" s="30">
        <v>22.4</v>
      </c>
      <c r="R21" s="31">
        <f t="shared" si="2"/>
        <v>31.1</v>
      </c>
      <c r="S21" s="31">
        <f t="shared" si="2"/>
        <v>22.4</v>
      </c>
      <c r="T21" s="28">
        <v>164.99799999999999</v>
      </c>
      <c r="U21" s="29">
        <v>44922.73749994213</v>
      </c>
      <c r="V21" s="30">
        <v>34.6</v>
      </c>
      <c r="W21" s="30">
        <v>20.8</v>
      </c>
      <c r="X21" s="31">
        <f t="shared" si="3"/>
        <v>33.5</v>
      </c>
      <c r="Y21" s="31">
        <f t="shared" si="3"/>
        <v>20.8</v>
      </c>
      <c r="Z21" s="32">
        <f>IF(T21="","",IF(LEFT([1]Pesos_Blancos!A19,2)="QC",T21,IF(ABS((N21-T21))&lt;=0.05,(N21+T21)/2,"Error")))</f>
        <v>164.994</v>
      </c>
      <c r="AA21" s="32">
        <f>IF(A21="","",IF(LEFT([1]Pesos_Blancos!A19,2)="QC",T21,IF(OR([1]Pesos_Blancos!F19&gt;Z21,Z21="Error"),"VERIFIQUE",ABS([1]Pesos_Blancos!F19-Z21))))</f>
        <v>0.25449999999997885</v>
      </c>
      <c r="AB21" s="30">
        <v>1.1000000000000001</v>
      </c>
      <c r="AC21" s="30">
        <v>0</v>
      </c>
      <c r="AD21" s="30" t="s">
        <v>26</v>
      </c>
    </row>
    <row r="22" spans="1:30" x14ac:dyDescent="0.25">
      <c r="A22" s="27" t="str">
        <f>IF([1]Pesos_Blancos!A20&lt;&gt;"",[1]Pesos_Blancos!A20,"")</f>
        <v>D9104514</v>
      </c>
      <c r="B22" s="28">
        <v>166.136</v>
      </c>
      <c r="C22" s="29">
        <v>44922.831979166665</v>
      </c>
      <c r="D22" s="30">
        <v>32.700000000000003</v>
      </c>
      <c r="E22" s="30">
        <v>20.3</v>
      </c>
      <c r="F22" s="31">
        <f t="shared" si="0"/>
        <v>31.6</v>
      </c>
      <c r="G22" s="31">
        <f t="shared" si="0"/>
        <v>20.3</v>
      </c>
      <c r="H22" s="28">
        <v>166.13399999999999</v>
      </c>
      <c r="I22" s="29">
        <v>44923.438738425924</v>
      </c>
      <c r="J22" s="30">
        <v>35.299999999999997</v>
      </c>
      <c r="K22" s="30">
        <v>22.1</v>
      </c>
      <c r="L22" s="31">
        <f t="shared" si="1"/>
        <v>34.199999999999996</v>
      </c>
      <c r="M22" s="31">
        <f t="shared" si="1"/>
        <v>22.1</v>
      </c>
      <c r="N22" s="28">
        <v>166.14500000000001</v>
      </c>
      <c r="O22" s="29">
        <v>44921.541701331022</v>
      </c>
      <c r="P22" s="30">
        <v>32.200000000000003</v>
      </c>
      <c r="Q22" s="30">
        <v>22.4</v>
      </c>
      <c r="R22" s="31">
        <f t="shared" si="2"/>
        <v>31.1</v>
      </c>
      <c r="S22" s="31">
        <f t="shared" si="2"/>
        <v>22.4</v>
      </c>
      <c r="T22" s="28">
        <v>166.142</v>
      </c>
      <c r="U22" s="29">
        <v>44922.739467534724</v>
      </c>
      <c r="V22" s="30">
        <v>34.6</v>
      </c>
      <c r="W22" s="30">
        <v>20.8</v>
      </c>
      <c r="X22" s="31">
        <f t="shared" si="3"/>
        <v>33.5</v>
      </c>
      <c r="Y22" s="31">
        <f t="shared" si="3"/>
        <v>20.8</v>
      </c>
      <c r="Z22" s="32">
        <f>IF(T22="","",IF(LEFT([1]Pesos_Blancos!A20,2)="QC",T22,IF(ABS((N22-T22))&lt;=0.05,(N22+T22)/2,"Error")))</f>
        <v>166.14350000000002</v>
      </c>
      <c r="AA22" s="32">
        <f>IF(A22="","",IF(LEFT([1]Pesos_Blancos!A20,2)="QC",T22,IF(OR([1]Pesos_Blancos!F20&gt;Z22,Z22="Error"),"VERIFIQUE",ABS([1]Pesos_Blancos!F20-Z22))))</f>
        <v>0.22650000000001569</v>
      </c>
      <c r="AB22" s="30">
        <v>1.1000000000000001</v>
      </c>
      <c r="AC22" s="30">
        <v>0</v>
      </c>
      <c r="AD22" s="30" t="s">
        <v>26</v>
      </c>
    </row>
    <row r="23" spans="1:30" x14ac:dyDescent="0.25">
      <c r="A23" s="27" t="str">
        <f>IF([1]Pesos_Blancos!A21&lt;&gt;"",[1]Pesos_Blancos!A21,"")</f>
        <v>QC 168</v>
      </c>
      <c r="B23" s="28">
        <v>99.995999999999995</v>
      </c>
      <c r="C23" s="29">
        <v>44922.832361111112</v>
      </c>
      <c r="D23" s="30">
        <v>33</v>
      </c>
      <c r="E23" s="30">
        <v>20.9</v>
      </c>
      <c r="F23" s="31">
        <f t="shared" si="0"/>
        <v>31.9</v>
      </c>
      <c r="G23" s="31">
        <f t="shared" si="0"/>
        <v>20.9</v>
      </c>
      <c r="H23" s="28">
        <v>99.995999999999995</v>
      </c>
      <c r="I23" s="29">
        <v>44923.439027777778</v>
      </c>
      <c r="J23" s="30">
        <v>32.5</v>
      </c>
      <c r="K23" s="30">
        <v>22.3</v>
      </c>
      <c r="L23" s="31">
        <f t="shared" si="1"/>
        <v>31.4</v>
      </c>
      <c r="M23" s="31">
        <f t="shared" si="1"/>
        <v>22.3</v>
      </c>
      <c r="N23" s="28">
        <v>99.995999999999995</v>
      </c>
      <c r="O23" s="29">
        <v>44921.542233738423</v>
      </c>
      <c r="P23" s="30">
        <v>31.1</v>
      </c>
      <c r="Q23" s="30">
        <v>22.2</v>
      </c>
      <c r="R23" s="31">
        <f t="shared" si="2"/>
        <v>30</v>
      </c>
      <c r="S23" s="31">
        <f t="shared" si="2"/>
        <v>22.2</v>
      </c>
      <c r="T23" s="28">
        <v>99.995999999999995</v>
      </c>
      <c r="U23" s="29">
        <v>44922.741435127318</v>
      </c>
      <c r="V23" s="30">
        <v>37.1</v>
      </c>
      <c r="W23" s="30">
        <v>20.9</v>
      </c>
      <c r="X23" s="31">
        <f t="shared" si="3"/>
        <v>36</v>
      </c>
      <c r="Y23" s="31">
        <f t="shared" si="3"/>
        <v>20.9</v>
      </c>
      <c r="Z23" s="32">
        <f>IF(T23="","",IF(LEFT([1]Pesos_Blancos!A21,2)="QC",T23,IF(ABS((N23-T23))&lt;=0.05,(N23+T23)/2,"Error")))</f>
        <v>99.995999999999995</v>
      </c>
      <c r="AA23" s="32">
        <f>IF(A23="","",IF(LEFT([1]Pesos_Blancos!A21,2)="QC",T23,IF(OR([1]Pesos_Blancos!F21&gt;Z23,Z23="Error"),"VERIFIQUE",ABS([1]Pesos_Blancos!F21-Z23))))</f>
        <v>99.995999999999995</v>
      </c>
      <c r="AB23" s="30">
        <v>1.1000000000000001</v>
      </c>
      <c r="AC23" s="30">
        <v>0</v>
      </c>
      <c r="AD23" s="30" t="s">
        <v>26</v>
      </c>
    </row>
    <row r="24" spans="1:30" x14ac:dyDescent="0.25">
      <c r="A24" s="27" t="str">
        <f>IF([1]Pesos_Blancos!A22&lt;&gt;"",[1]Pesos_Blancos!A22,"")</f>
        <v/>
      </c>
      <c r="B24" s="28"/>
      <c r="C24" s="29"/>
      <c r="D24" s="30"/>
      <c r="E24" s="30"/>
      <c r="F24" s="31" t="str">
        <f t="shared" si="0"/>
        <v/>
      </c>
      <c r="G24" s="31" t="str">
        <f t="shared" si="0"/>
        <v/>
      </c>
      <c r="H24" s="28"/>
      <c r="I24" s="29"/>
      <c r="J24" s="30"/>
      <c r="K24" s="30"/>
      <c r="L24" s="31" t="str">
        <f t="shared" si="1"/>
        <v/>
      </c>
      <c r="M24" s="31" t="str">
        <f t="shared" si="1"/>
        <v/>
      </c>
      <c r="N24" s="28"/>
      <c r="O24" s="29"/>
      <c r="P24" s="30"/>
      <c r="Q24" s="30"/>
      <c r="R24" s="31" t="str">
        <f t="shared" si="2"/>
        <v/>
      </c>
      <c r="S24" s="31" t="str">
        <f t="shared" si="2"/>
        <v/>
      </c>
      <c r="T24" s="28"/>
      <c r="U24" s="29"/>
      <c r="V24" s="30"/>
      <c r="W24" s="30"/>
      <c r="X24" s="31" t="str">
        <f t="shared" si="3"/>
        <v/>
      </c>
      <c r="Y24" s="31" t="str">
        <f t="shared" si="3"/>
        <v/>
      </c>
      <c r="Z24" s="32" t="str">
        <f>IF(T24="","",IF(LEFT([1]Pesos_Blancos!A22,2)="QC",T24,IF(ABS((N24-T24))&lt;=0.05,(N24+T24)/2,"Error")))</f>
        <v/>
      </c>
      <c r="AA24" s="32" t="str">
        <f>IF(A24="","",IF(LEFT([1]Pesos_Blancos!A22,2)="QC",T24,IF(OR([1]Pesos_Blancos!F22&gt;Z24,Z24="Error"),"VERIFIQUE",ABS([1]Pesos_Blancos!F22-Z24))))</f>
        <v/>
      </c>
      <c r="AB24" s="30"/>
      <c r="AC24" s="30"/>
      <c r="AD24" s="30"/>
    </row>
  </sheetData>
  <sheetProtection algorithmName="SHA-512" hashValue="8j39TBubXCh0qKdZWklBaZyFA/cVFOdZBjJld25Yjw9iyT4LkTzGRLDbch0lkEghIoV4wC1bYz6b0JmVhTFR5w==" saltValue="gH2XteEZkCuDZi4hR0DRY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8" operator="greaterThan">
      <formula>50</formula>
    </cfRule>
  </conditionalFormatting>
  <conditionalFormatting sqref="L4:M24">
    <cfRule type="cellIs" dxfId="6" priority="7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Filtros_Muestra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Laboratorio Pesaje</dc:creator>
  <cp:lastModifiedBy>Laboratorio Pesaje</cp:lastModifiedBy>
  <cp:lastPrinted>2022-12-28T13:41:07Z</cp:lastPrinted>
  <dcterms:created xsi:type="dcterms:W3CDTF">2022-12-28T13:41:00Z</dcterms:created>
  <dcterms:modified xsi:type="dcterms:W3CDTF">2022-12-28T13:42:05Z</dcterms:modified>
</cp:coreProperties>
</file>